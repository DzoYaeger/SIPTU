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latihan" sheetId="1" r:id="rId5"/>
    <sheet state="visible" name="Pelaksanaan SESI KOMPAK" sheetId="2" r:id="rId6"/>
    <sheet state="visible" name="Jadwal" sheetId="3" r:id="rId7"/>
  </sheets>
  <definedNames/>
  <calcPr/>
</workbook>
</file>

<file path=xl/sharedStrings.xml><?xml version="1.0" encoding="utf-8"?>
<sst xmlns="http://schemas.openxmlformats.org/spreadsheetml/2006/main" count="373" uniqueCount="194">
  <si>
    <t>Nama</t>
  </si>
  <si>
    <t>No</t>
  </si>
  <si>
    <t>No Undangan</t>
  </si>
  <si>
    <t>Bulan</t>
  </si>
  <si>
    <t>Nama Pegawai</t>
  </si>
  <si>
    <t>NIP</t>
  </si>
  <si>
    <t>Jenis Pelatihan</t>
  </si>
  <si>
    <t>Topik Sharing</t>
  </si>
  <si>
    <t>Metode</t>
  </si>
  <si>
    <t>Fungsi</t>
  </si>
  <si>
    <t>Nama Bangkom</t>
  </si>
  <si>
    <t>Keterangan</t>
  </si>
  <si>
    <t>Tanggal SESI KOMPAK</t>
  </si>
  <si>
    <t>Narasumber</t>
  </si>
  <si>
    <t>Judul Pelatihan</t>
  </si>
  <si>
    <t>April</t>
  </si>
  <si>
    <t>Jumlah Peserta</t>
  </si>
  <si>
    <t>Dwi Alliantie, S.Si., Apt.</t>
  </si>
  <si>
    <t>Tanggal Pelatihan</t>
  </si>
  <si>
    <t>Diklat Teknis</t>
  </si>
  <si>
    <t>Tempat Pelatihan</t>
  </si>
  <si>
    <t>Rata-Rata Pre-Test</t>
  </si>
  <si>
    <t>Pelatihan Bahasa Isyarat Indonesia (BISINDO) Tingkat Dasar Tahun 2026</t>
  </si>
  <si>
    <t>Rata-Rata Post-Test</t>
  </si>
  <si>
    <t>Progress</t>
  </si>
  <si>
    <t>Daring</t>
  </si>
  <si>
    <t>Peningkatan Nilai</t>
  </si>
  <si>
    <t>Selesai</t>
  </si>
  <si>
    <t>Ceklis jika disarankan untuk di Diseminasi</t>
  </si>
  <si>
    <t>Kepuasan Peserta
(Evaluasi Narasumber)</t>
  </si>
  <si>
    <t xml:space="preserve">Dokumentasi </t>
  </si>
  <si>
    <t>Hasil Evaluasi Narasumber</t>
  </si>
  <si>
    <t>Akan dilakukan diseminasi (diisi TU)</t>
  </si>
  <si>
    <t>PB.02.01.19B.04.26.167</t>
  </si>
  <si>
    <t>Mei</t>
  </si>
  <si>
    <t>Dwi Alliantie, S.Si, Apt</t>
  </si>
  <si>
    <t>Syafar Rizkyanto Akhmad dan Doddy Prayudi</t>
  </si>
  <si>
    <t>Sosialisasi</t>
  </si>
  <si>
    <t>Penggunaan IKD ASN, DMS BKN, dan BPOM Digital Office</t>
  </si>
  <si>
    <t>198605202010122002</t>
  </si>
  <si>
    <r>
      <rPr>
        <rFont val="Arial"/>
        <color theme="1"/>
      </rPr>
      <t xml:space="preserve">Dwi Alliantie, </t>
    </r>
    <r>
      <rPr>
        <rFont val="Arial"/>
        <color rgb="FF000000"/>
      </rPr>
      <t>S.Si</t>
    </r>
    <r>
      <rPr>
        <rFont val="Arial"/>
        <color theme="1"/>
      </rPr>
      <t>., Apt.</t>
    </r>
  </si>
  <si>
    <t>Pemeriksaan</t>
  </si>
  <si>
    <t>Siti Hardianti Rahman, S.H.</t>
  </si>
  <si>
    <t>Pelatihan Smart Inspector: Upskilling Inspektur BPOM dalam Penelusuran OBA Mengandung BKO Berbasis Teknologi</t>
  </si>
  <si>
    <t>ToT Standar Gizi dan Keamanan Pangan Siap Saji untuk Penjamah Pangan di Satuan Pelayanan Pemenuhan Gizi (SPPG) serta Implementasi dan Edukasi Gizi Program MBG di Satuan Pendidikan</t>
  </si>
  <si>
    <t>28 - 31 Januari 2026</t>
  </si>
  <si>
    <t>Ibis Style Makassar</t>
  </si>
  <si>
    <t>Juni</t>
  </si>
  <si>
    <t>Suciati, S.Si, Apt</t>
  </si>
  <si>
    <t>Selesai Pelatihan</t>
  </si>
  <si>
    <t>Pelatihan Kitchen Inspection untuk SPPG</t>
  </si>
  <si>
    <t>SESI KOMPAK 1</t>
  </si>
  <si>
    <t>Asnur Aswad, S.Farm., Apt.</t>
  </si>
  <si>
    <t>Mengikuti Kegiatan Peningkatan Kompetensi "Strengthening Post-Marketing Survaillance (PMS) for Polio Vaccines"</t>
  </si>
  <si>
    <t>Andi Raodhatul Janna Andi Baso Urung, S.K.M</t>
  </si>
  <si>
    <t>Pelatihan Penyuluh Obat dan Makanan Junior</t>
  </si>
  <si>
    <t>197810062003122001</t>
  </si>
  <si>
    <t>Infokom</t>
  </si>
  <si>
    <t>PB.02.01.51B.05.26.204</t>
  </si>
  <si>
    <t>Pengukuran Indeks Kualitas Data ASN dan DMS MyBKN</t>
  </si>
  <si>
    <t>Juli</t>
  </si>
  <si>
    <t>Rahmat Hidayat Paembonan, S.KM.</t>
  </si>
  <si>
    <t>Pelatihan Pengawas Pangan (Food Inspector) Dasar Tahun 2026</t>
  </si>
  <si>
    <r>
      <rPr>
        <rFont val="Arial"/>
        <color theme="1"/>
      </rPr>
      <t xml:space="preserve">Syafar Rizkyanto Akhmad, </t>
    </r>
    <r>
      <rPr>
        <rFont val="Arial"/>
        <color rgb="FF000000"/>
      </rPr>
      <t>A.Md</t>
    </r>
    <r>
      <rPr>
        <rFont val="Arial"/>
        <color theme="1"/>
      </rPr>
      <t>.Kom</t>
    </r>
  </si>
  <si>
    <t>2 - 13 Februari 2026</t>
  </si>
  <si>
    <t>Belum Terlaksana</t>
  </si>
  <si>
    <t>-</t>
  </si>
  <si>
    <t>Daring dan Hotel Arya Duta Menteng Jakarta Pusat</t>
  </si>
  <si>
    <t>Selesai Diseminasi</t>
  </si>
  <si>
    <t>Sesi 1</t>
  </si>
  <si>
    <t>Agustus</t>
  </si>
  <si>
    <t>Survei Kepuasan SESI KOMPAK - Pengukuran IKD ASN BPOM dan Document Management System Badan Kepegawaian Negara  DMS BKN  - 29062026.xlsx</t>
  </si>
  <si>
    <t>Penggunaan BPOM Digital Office</t>
  </si>
  <si>
    <t>September</t>
  </si>
  <si>
    <t>9 Februari - 11 Maret 2026</t>
  </si>
  <si>
    <r>
      <rPr>
        <rFont val="Arial"/>
        <color theme="1"/>
      </rPr>
      <t xml:space="preserve">Doddy Prayudi, </t>
    </r>
    <r>
      <rPr>
        <rFont val="Arial"/>
        <color rgb="FF000000"/>
      </rPr>
      <t>A.Md</t>
    </r>
    <r>
      <rPr>
        <rFont val="Arial"/>
        <color theme="1"/>
      </rPr>
      <t>.</t>
    </r>
  </si>
  <si>
    <t>Sesi 2</t>
  </si>
  <si>
    <t>Survei Kepuasan SESI KOMPAK - Penggunaan BPOM Digital Office - 29062026 (1).xlsx</t>
  </si>
  <si>
    <t>199202292024211006</t>
  </si>
  <si>
    <t>Oktober</t>
  </si>
  <si>
    <t>PB.02.01.51B.05.26.226</t>
  </si>
  <si>
    <t>Penelusuran OBA Mengandung BKO Berbasis Teknologi</t>
  </si>
  <si>
    <t>9 Februari - 5 Maret 2026</t>
  </si>
  <si>
    <t>November</t>
  </si>
  <si>
    <t>SESI KOMPAK 3 22 Mei 2026</t>
  </si>
  <si>
    <t>199212142023212043</t>
  </si>
  <si>
    <t>Survei Kepuasan SESI KOMPAK - Penelusuran OBA Mengandung BKO Berbasis Teknologi - 29062026.xlsx</t>
  </si>
  <si>
    <t>Desember</t>
  </si>
  <si>
    <t>2 - 11 Maret 2026</t>
  </si>
  <si>
    <t>PB.02.01.51B.06.26.250</t>
  </si>
  <si>
    <r>
      <rPr>
        <rFont val="Arial"/>
        <i/>
        <color theme="1"/>
      </rPr>
      <t>Kitchen Inspection</t>
    </r>
    <r>
      <rPr>
        <rFont val="Arial"/>
        <color theme="1"/>
      </rPr>
      <t xml:space="preserve"> untuk SPPG</t>
    </r>
  </si>
  <si>
    <t>Suciati, S.Si., Apt.</t>
  </si>
  <si>
    <t>Sesi Kompak 4 5 Juni 2026</t>
  </si>
  <si>
    <t>Andi Hamka, S.Farm</t>
  </si>
  <si>
    <t>198603092023211014</t>
  </si>
  <si>
    <t>Survei Kepuasan SESI KOMPAK - Kitchen Inspection untuk SPPG - 29062026.xlsx</t>
  </si>
  <si>
    <t>Pelatihan Inspektur Cara Distribusi Obat yang Baik (CDOB) Junior Tahun 2026</t>
  </si>
  <si>
    <t>PB.02.01.51B.06.26.268</t>
  </si>
  <si>
    <t>Strengthening Post-Marketing Survaillance (PMS) for Polio Vaccines</t>
  </si>
  <si>
    <t>30 Maret - 21 Mei 2026</t>
  </si>
  <si>
    <t>Sesi Kompak 5 19 Juni 2026</t>
  </si>
  <si>
    <t>199211302019032003</t>
  </si>
  <si>
    <t>Survei Kepuasan SESI KOMPAK - Strengthening Post-Marketing Survaillance  PMS  for Polio Vaccines - 29062026.xlsx</t>
  </si>
  <si>
    <t>1 pegawai tidak mengisi presensi
1 pegawai tidak mengisi post test
2 pegawai tidak mengisi pre dan post test
4 pegawai tidak mengisi evaluasi narasumber</t>
  </si>
  <si>
    <t>Mengikuti Pelatihan Smart Inspector: Upskilling Inspektur BPOM dalam Penelusuran OBA Mengandung BKO Berbasis Teknologi</t>
  </si>
  <si>
    <t>PB.02.01.51B.06.26.276</t>
  </si>
  <si>
    <t>27 April - 1 Mei 2026</t>
  </si>
  <si>
    <t>Penyuluh Obat dan Makanan Junior</t>
  </si>
  <si>
    <t xml:space="preserve">Semarang, Jawa Tengah
</t>
  </si>
  <si>
    <t>Andi Raodhatul Janna Andi Baso Urung, S.K.M.</t>
  </si>
  <si>
    <t>Sesi Kompak 6 26 Juni 2026</t>
  </si>
  <si>
    <t>Survei Kepuasan SESI KOMPAK - Penyuluh Obat dan Makanan Junior - 29062026.xlsx</t>
  </si>
  <si>
    <t>199110232023211018</t>
  </si>
  <si>
    <t>1 pegawai tidak mengisi pre dan post test
6 pegawai tidak mengisi evaluasi narasumber</t>
  </si>
  <si>
    <t>PB.02.01.51B.07.26.308</t>
  </si>
  <si>
    <t>Pengawas Pangan (Food Inspector) Dasar</t>
  </si>
  <si>
    <t>Semarang, Jawa Tengah</t>
  </si>
  <si>
    <t>Sesi Kompak 7 10 Juli 2026</t>
  </si>
  <si>
    <t>Survei Kepuasan SESI KOMPAK - Pengawas Pangan Food Inspector  Dasar - 13072026.xlsx</t>
  </si>
  <si>
    <t>Workshop</t>
  </si>
  <si>
    <t>1 pegawai tidak mengisi presensi
1 pegawai tidak mengisi pre test
1 pegawai tidak mengisi presensi, post test, evaluasi
6 pegawai tidak mengisi evaluasi</t>
  </si>
  <si>
    <t>Workshop Registrasi Pangan Olahan untuk UPT</t>
  </si>
  <si>
    <t>PB.02.01.51B.07.26.326</t>
  </si>
  <si>
    <t>14 - 16 April 2026</t>
  </si>
  <si>
    <t>Pelatihan Fungsional Pengawas Farmasi dan Makanan (PFM)</t>
  </si>
  <si>
    <t>apt. Andi Mutiara Cahyani, S.Farm.</t>
  </si>
  <si>
    <t>SESI KOMPAK 24 Juli 2026</t>
  </si>
  <si>
    <t>Survei Kepuasan SESI KOMPAK - Pelatihan Fungsional PFM - 27072026.xlsx</t>
  </si>
  <si>
    <t>199909232025062004</t>
  </si>
  <si>
    <t>Pengujian</t>
  </si>
  <si>
    <t>3 pegawai tidak mengisi presensi
1 pegawai tidak mengisi pre &amp; post test
3 pegawai tidak mengisi evaluasi narasumber</t>
  </si>
  <si>
    <t>1 - 28 April 2026</t>
  </si>
  <si>
    <t>Arham, S.Si</t>
  </si>
  <si>
    <t>198007232005011001</t>
  </si>
  <si>
    <t>Penindakan</t>
  </si>
  <si>
    <t>Diklat Investigasi Siber</t>
  </si>
  <si>
    <t>1 - 14 Februari 2026</t>
  </si>
  <si>
    <t>Soreang, Bandung, Jawa Barat</t>
  </si>
  <si>
    <t>Andi Rezkiani Beta, S.Si, Apt</t>
  </si>
  <si>
    <t>199104252019032003</t>
  </si>
  <si>
    <t>Pelatihan Inspektur Kosmetik Senior</t>
  </si>
  <si>
    <t>16 Juli - 20 Agustus 2026</t>
  </si>
  <si>
    <t>Proses</t>
  </si>
  <si>
    <t>Pragenty Ritna Manaya, S.Si., Apt.</t>
  </si>
  <si>
    <t>198801252015022004</t>
  </si>
  <si>
    <t>Program Pelatihan IELTS Preparation</t>
  </si>
  <si>
    <t>15 Juli - 24 Oktober 2026</t>
  </si>
  <si>
    <r>
      <rPr>
        <rFont val="Arial"/>
        <color theme="1"/>
      </rPr>
      <t xml:space="preserve">Risma Amir, </t>
    </r>
    <r>
      <rPr>
        <rFont val="Arial"/>
        <color rgb="FF000000"/>
      </rPr>
      <t>A.Md</t>
    </r>
    <r>
      <rPr>
        <rFont val="Arial"/>
        <color theme="1"/>
      </rPr>
      <t>.Ak.</t>
    </r>
  </si>
  <si>
    <t>199704052025062008</t>
  </si>
  <si>
    <t>Tata Usaha</t>
  </si>
  <si>
    <t>Bimtek Pengelolaan Barang Milik Negara "Sinergi dalam Tata Kelola, Unggul dalam Pengelolaan BMN"</t>
  </si>
  <si>
    <r>
      <rPr>
        <rFont val="Arial"/>
        <color theme="1"/>
      </rPr>
      <t xml:space="preserve">Doddy Prayudi, </t>
    </r>
    <r>
      <rPr>
        <rFont val="Arial"/>
        <color rgb="FF000000"/>
      </rPr>
      <t>A.Md</t>
    </r>
    <r>
      <rPr>
        <rFont val="Arial"/>
        <color theme="1"/>
      </rPr>
      <t>.</t>
    </r>
  </si>
  <si>
    <t>19960805 201903 1 002</t>
  </si>
  <si>
    <t>Aminullah, SE</t>
  </si>
  <si>
    <t>19890727 201101 1 001</t>
  </si>
  <si>
    <t>Aat Prayogo Muhtar, S.Si., Apt</t>
  </si>
  <si>
    <t>19930817 201903 1 002</t>
  </si>
  <si>
    <t>Bimtek Pengelolaan Barang Bukti</t>
  </si>
  <si>
    <t>5 Mei 2026</t>
  </si>
  <si>
    <t>SPUKTA (Pelatihan Drone Lanjutan)</t>
  </si>
  <si>
    <t>8 - 11 Juni 2026</t>
  </si>
  <si>
    <t>Bimtek Peningkatan Kompetensi PPNS terkait Peraturan Terbaru (KUHP dan KUHAP)</t>
  </si>
  <si>
    <t>19 - 23 Oktober 2026</t>
  </si>
  <si>
    <t>Aat Prayogo Muhtar, S.Si, Apt</t>
  </si>
  <si>
    <t>199308172019031002</t>
  </si>
  <si>
    <t>Lisa Nursyahbani Muhlis, S.H., M.H.</t>
  </si>
  <si>
    <t>199509152019032005</t>
  </si>
  <si>
    <t>Fitriana, S.Si</t>
  </si>
  <si>
    <t>199303072019032005</t>
  </si>
  <si>
    <t>Pelatihan Analis Laboratorium Kimia Junior</t>
  </si>
  <si>
    <t>26 Oktober - 6 November 2026</t>
  </si>
  <si>
    <t>Fitriani Layukan, S.Si</t>
  </si>
  <si>
    <t>199403132019032012</t>
  </si>
  <si>
    <t>Pelatihan Analis Laboratorium Bologi Junior</t>
  </si>
  <si>
    <t>7 - 18 September 2026</t>
  </si>
  <si>
    <t>Muhammad Alif Ishak, S.Si</t>
  </si>
  <si>
    <t>199608062022031003</t>
  </si>
  <si>
    <t>Pelatihan Penyuluh Obat dan Makanan Kepala (Pelatihan Penyuluhan dan KIE TK III)</t>
  </si>
  <si>
    <t>Yulica Tumaruk, S.Si, Apt</t>
  </si>
  <si>
    <t>199107222019032002</t>
  </si>
  <si>
    <t>Penyuluhan</t>
  </si>
  <si>
    <t>Didimus Pasira, S.KM.</t>
  </si>
  <si>
    <t>199403262019031008</t>
  </si>
  <si>
    <t>Pelatihan Analis Advokasi Obat dan Makanan Junior</t>
  </si>
  <si>
    <t>5 - 13 Oktober 2026</t>
  </si>
  <si>
    <t>Pelatihan Inspektur Obat Bahan Alam, Obat Kuasi, dan Suplemen Kesehatan Junior</t>
  </si>
  <si>
    <t>Mutmainnah, S.Si, Apt</t>
  </si>
  <si>
    <t>199409102019032008</t>
  </si>
  <si>
    <t>Pelatihan Inspektur Cara Distribusi Obat yang Baik (CDOB) Senior</t>
  </si>
  <si>
    <t>21 September - 22 Oktober 2026</t>
  </si>
  <si>
    <t>Pelatihan Inspektur Kosmetik Junior</t>
  </si>
  <si>
    <t>22 Januari - 12 Februari 2026</t>
  </si>
  <si>
    <t>Pelatihan Farmakovigilans Junior</t>
  </si>
  <si>
    <t>3 - 12 Agustus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</si>
</sst>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color rgb="FF000000"/>
      <name val="Arial"/>
    </font>
    <font>
      <u/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3" numFmtId="10" xfId="0" applyAlignment="1" applyBorder="1" applyFont="1" applyNumberForma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3" numFmtId="10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3">
    <tableStyle count="4" pivot="0" name="Data Pelatihan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Jadwal-style">
      <tableStyleElement dxfId="4" type="headerRow"/>
      <tableStyleElement dxfId="3" type="firstRowStripe"/>
      <tableStyleElement dxfId="5" type="secondRowStripe"/>
      <tableStyleElement dxfId="6" size="0" type="wholeTable"/>
    </tableStyle>
    <tableStyle count="4" pivot="0" name="Pelaksanaan SESI KOMPAK-style">
      <tableStyleElement dxfId="1" type="headerRow"/>
      <tableStyleElement dxfId="3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2" displayName="Table1" name="Table1" id="1">
  <tableColumns count="10">
    <tableColumn name="Nama" id="1"/>
    <tableColumn name="NIP" id="2"/>
    <tableColumn name="Fungsi" id="3"/>
    <tableColumn name="Jenis Pelatihan" id="4"/>
    <tableColumn name="Judul Pelatihan" id="5"/>
    <tableColumn name="Tanggal Pelatihan" id="6"/>
    <tableColumn name="Tempat Pelatihan" id="7"/>
    <tableColumn name="Progress" id="8"/>
    <tableColumn name="Ceklis jika disarankan untuk di Diseminasi" id="9"/>
    <tableColumn name="Akan dilakukan diseminasi (diisi TU)" id="10"/>
  </tableColumns>
  <tableStyleInfo name="Data Pelatihan-style" showColumnStripes="0" showFirstColumn="1" showLastColumn="1" showRowStripes="1"/>
</table>
</file>

<file path=xl/tables/table2.xml><?xml version="1.0" encoding="utf-8"?>
<table xmlns="http://schemas.openxmlformats.org/spreadsheetml/2006/main" ref="A1:L15" displayName="Sesi_Kompak_Detail" name="Sesi_Kompak_Detail" id="2">
  <tableColumns count="12">
    <tableColumn name="No Undangan" id="1"/>
    <tableColumn name="Nama Bangkom" id="2"/>
    <tableColumn name="Tanggal SESI KOMPAK" id="3"/>
    <tableColumn name="Narasumber" id="4"/>
    <tableColumn name="Jumlah Peserta" id="5"/>
    <tableColumn name="Rata-Rata Pre-Test" id="6"/>
    <tableColumn name="Rata-Rata Post-Test" id="7"/>
    <tableColumn name="Peningkatan Nilai" id="8"/>
    <tableColumn name="Kepuasan Peserta_x000a_(Evaluasi Narasumber)" id="9"/>
    <tableColumn name="Dokumentasi " id="10"/>
    <tableColumn name="Hasil Evaluasi Narasumber" id="11"/>
    <tableColumn name="Keterangan" id="12"/>
  </tableColumns>
  <tableStyleInfo name="Pelaksanaan SESI KOMPAK-style" showColumnStripes="0" showFirstColumn="1" showLastColumn="1" showRowStripes="1"/>
</table>
</file>

<file path=xl/tables/table3.xml><?xml version="1.0" encoding="utf-8"?>
<table xmlns="http://schemas.openxmlformats.org/spreadsheetml/2006/main" ref="A1:G19" displayName="Perencanaan" name="Perencanaan" id="3">
  <tableColumns count="7">
    <tableColumn name="No" id="1"/>
    <tableColumn name="Bulan" id="2"/>
    <tableColumn name="Nama Pegawai" id="3"/>
    <tableColumn name="Jenis Pelatihan" id="4"/>
    <tableColumn name="Topik Sharing" id="5"/>
    <tableColumn name="Metode" id="6"/>
    <tableColumn name="Keterangan" id="7"/>
  </tableColumns>
  <tableStyleInfo name="Jadw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11" Type="http://schemas.openxmlformats.org/officeDocument/2006/relationships/hyperlink" Target="https://docs.google.com/spreadsheets/d/1qAvMUDV0wt5_h3HOR6VCYY7cErNNBFzt/edit?usp=sharing&amp;ouid=100700457844679769711&amp;rtpof=true&amp;sd=true" TargetMode="External"/><Relationship Id="rId10" Type="http://schemas.openxmlformats.org/officeDocument/2006/relationships/hyperlink" Target="https://drive.google.com/drive/folders/1o9yyyW_P37gAqu3BWmVj0p2JE4lF3sqU?usp=drive_link" TargetMode="External"/><Relationship Id="rId13" Type="http://schemas.openxmlformats.org/officeDocument/2006/relationships/hyperlink" Target="https://docs.google.com/spreadsheets/d/10SUkoyj8hk81JHLAxxBCevyEAiuVUiFo/edit?usp=sharing&amp;ouid=100700457844679769711&amp;rtpof=true&amp;sd=true" TargetMode="External"/><Relationship Id="rId12" Type="http://schemas.openxmlformats.org/officeDocument/2006/relationships/hyperlink" Target="https://drive.google.com/drive/folders/1dNodlRnKFq1KVyhIjQbeJL5A9oXwCm0x?usp=drive_link" TargetMode="External"/><Relationship Id="rId1" Type="http://schemas.openxmlformats.org/officeDocument/2006/relationships/hyperlink" Target="https://drive.google.com/drive/folders/1QkSGvNviQmPyJc63jBl0ceyd1tXzrVqR?usp=sharing" TargetMode="External"/><Relationship Id="rId2" Type="http://schemas.openxmlformats.org/officeDocument/2006/relationships/hyperlink" Target="https://drive.google.com/drive/folders/1oO6TecMSmNEqlFPCtk9yKt9wmqimuHBa?usp=drive_link" TargetMode="External"/><Relationship Id="rId3" Type="http://schemas.openxmlformats.org/officeDocument/2006/relationships/hyperlink" Target="https://docs.google.com/spreadsheets/d/1T0qxUMYp_Nm3rE6uca6tZMXrRBxlVM8H/edit?usp=sharing&amp;ouid=100700457844679769711&amp;rtpof=true&amp;sd=true" TargetMode="External"/><Relationship Id="rId4" Type="http://schemas.openxmlformats.org/officeDocument/2006/relationships/hyperlink" Target="https://drive.google.com/drive/folders/1ri8EjGvcaSiVisA6a5WcSTp2cvMYpm-x?usp=drive_link" TargetMode="External"/><Relationship Id="rId9" Type="http://schemas.openxmlformats.org/officeDocument/2006/relationships/hyperlink" Target="https://docs.google.com/spreadsheets/d/11oS80JojNe2DuclpMNISS65nm0F6214_/edit?usp=sharing&amp;ouid=100700457844679769711&amp;rtpof=true&amp;sd=true" TargetMode="External"/><Relationship Id="rId15" Type="http://schemas.openxmlformats.org/officeDocument/2006/relationships/hyperlink" Target="https://docs.google.com/spreadsheets/d/1UJVzkaJ6aLqI3BWVqiyV7ZwZyY8EV3wl/edit?usp=sharing&amp;ouid=100700457844679769711&amp;rtpof=true&amp;sd=true" TargetMode="External"/><Relationship Id="rId14" Type="http://schemas.openxmlformats.org/officeDocument/2006/relationships/hyperlink" Target="https://drive.google.com/drive/folders/1SgiAi3_HcUAGiXbEQnNXN2dUTCOQYG-4?usp=drive_link" TargetMode="External"/><Relationship Id="rId17" Type="http://schemas.openxmlformats.org/officeDocument/2006/relationships/hyperlink" Target="https://docs.google.com/spreadsheets/d/1WjE54pZb_2kg4cfu7D8cnUeAe9bKRr7p/edit?usp=sharing&amp;ouid=100700457844679769711&amp;rtpof=true&amp;sd=true" TargetMode="External"/><Relationship Id="rId16" Type="http://schemas.openxmlformats.org/officeDocument/2006/relationships/hyperlink" Target="https://drive.google.com/drive/folders/1lu3h8xakfGReksHXBxP87lzRBbPCz8Xi?usp=drive_link" TargetMode="External"/><Relationship Id="rId5" Type="http://schemas.openxmlformats.org/officeDocument/2006/relationships/hyperlink" Target="https://docs.google.com/spreadsheets/d/1V8rvVj_JSQMTSUyEKEZGfCOuP3Z506Eu/edit?usp=sharing&amp;ouid=100700457844679769711&amp;rtpof=true&amp;sd=true" TargetMode="External"/><Relationship Id="rId6" Type="http://schemas.openxmlformats.org/officeDocument/2006/relationships/hyperlink" Target="https://drive.google.com/drive/folders/1RpDtgn98Iy12ECcIQH0EwkBMpLP-V1jG?usp=sharing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spreadsheets/d/16-HSQtEoPJEg8X5VvbIQVc13SZqolKvh/edit?usp=sharing&amp;ouid=100700457844679769711&amp;rtpof=true&amp;sd=true" TargetMode="External"/><Relationship Id="rId8" Type="http://schemas.openxmlformats.org/officeDocument/2006/relationships/hyperlink" Target="https://drive.google.com/drive/folders/1nYpXjuRKW_1kGp0U-CcBS1USFxPcYMvi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19.13"/>
    <col customWidth="1" min="3" max="3" width="12.0"/>
    <col customWidth="1" min="4" max="4" width="13.13"/>
    <col customWidth="1" min="5" max="5" width="44.38"/>
    <col customWidth="1" min="6" max="6" width="26.25"/>
    <col customWidth="1" min="7" max="7" width="21.38"/>
    <col customWidth="1" min="8" max="8" width="20.0"/>
    <col customWidth="1" min="9" max="9" width="19.25"/>
    <col customWidth="1" min="10" max="10" width="23.13"/>
  </cols>
  <sheetData>
    <row r="1" ht="22.5" customHeight="1">
      <c r="A1" s="2" t="s">
        <v>0</v>
      </c>
      <c r="B1" s="4" t="s">
        <v>5</v>
      </c>
      <c r="C1" s="4" t="s">
        <v>9</v>
      </c>
      <c r="D1" s="2" t="s">
        <v>6</v>
      </c>
      <c r="E1" s="2" t="s">
        <v>14</v>
      </c>
      <c r="F1" s="4" t="s">
        <v>18</v>
      </c>
      <c r="G1" s="2" t="s">
        <v>20</v>
      </c>
      <c r="H1" s="4" t="s">
        <v>24</v>
      </c>
      <c r="I1" s="11" t="s">
        <v>28</v>
      </c>
      <c r="J1" s="12" t="s">
        <v>32</v>
      </c>
    </row>
    <row r="2" ht="22.5" customHeight="1">
      <c r="A2" s="15" t="s">
        <v>35</v>
      </c>
      <c r="B2" s="18" t="s">
        <v>39</v>
      </c>
      <c r="C2" s="20" t="s">
        <v>41</v>
      </c>
      <c r="D2" s="15" t="s">
        <v>19</v>
      </c>
      <c r="E2" s="15" t="s">
        <v>44</v>
      </c>
      <c r="F2" s="18" t="s">
        <v>45</v>
      </c>
      <c r="G2" s="15" t="s">
        <v>46</v>
      </c>
      <c r="H2" s="22" t="s">
        <v>49</v>
      </c>
      <c r="I2" s="20" t="b">
        <v>0</v>
      </c>
      <c r="J2" s="24" t="b">
        <v>0</v>
      </c>
    </row>
    <row r="3" ht="22.5" customHeight="1">
      <c r="A3" s="15" t="s">
        <v>48</v>
      </c>
      <c r="B3" s="18" t="s">
        <v>56</v>
      </c>
      <c r="C3" s="20" t="s">
        <v>57</v>
      </c>
      <c r="D3" s="15" t="s">
        <v>19</v>
      </c>
      <c r="E3" s="15" t="s">
        <v>50</v>
      </c>
      <c r="F3" s="18" t="s">
        <v>64</v>
      </c>
      <c r="G3" s="15" t="s">
        <v>67</v>
      </c>
      <c r="H3" s="22" t="s">
        <v>68</v>
      </c>
      <c r="I3" s="20" t="b">
        <v>0</v>
      </c>
      <c r="J3" s="24" t="b">
        <v>1</v>
      </c>
    </row>
    <row r="4" ht="22.5" customHeight="1">
      <c r="A4" s="15" t="s">
        <v>35</v>
      </c>
      <c r="B4" s="18" t="s">
        <v>39</v>
      </c>
      <c r="C4" s="20" t="s">
        <v>41</v>
      </c>
      <c r="D4" s="15" t="s">
        <v>19</v>
      </c>
      <c r="E4" s="15" t="s">
        <v>22</v>
      </c>
      <c r="F4" s="18" t="s">
        <v>74</v>
      </c>
      <c r="G4" s="15" t="s">
        <v>25</v>
      </c>
      <c r="H4" s="22" t="s">
        <v>68</v>
      </c>
      <c r="I4" s="20" t="b">
        <v>0</v>
      </c>
      <c r="J4" s="24" t="b">
        <v>1</v>
      </c>
    </row>
    <row r="5" ht="22.5" customHeight="1">
      <c r="A5" s="15" t="s">
        <v>61</v>
      </c>
      <c r="B5" s="18" t="s">
        <v>78</v>
      </c>
      <c r="C5" s="20" t="s">
        <v>41</v>
      </c>
      <c r="D5" s="15" t="s">
        <v>19</v>
      </c>
      <c r="E5" s="15" t="s">
        <v>62</v>
      </c>
      <c r="F5" s="18" t="s">
        <v>82</v>
      </c>
      <c r="G5" s="15" t="s">
        <v>25</v>
      </c>
      <c r="H5" s="22" t="s">
        <v>68</v>
      </c>
      <c r="I5" s="20" t="b">
        <v>0</v>
      </c>
      <c r="J5" s="24" t="b">
        <v>1</v>
      </c>
    </row>
    <row r="6" ht="22.5" customHeight="1">
      <c r="A6" s="14" t="s">
        <v>54</v>
      </c>
      <c r="B6" s="13" t="s">
        <v>85</v>
      </c>
      <c r="C6" s="20" t="s">
        <v>57</v>
      </c>
      <c r="D6" s="15" t="s">
        <v>19</v>
      </c>
      <c r="E6" s="14" t="s">
        <v>55</v>
      </c>
      <c r="F6" s="13" t="s">
        <v>88</v>
      </c>
      <c r="G6" s="15" t="s">
        <v>25</v>
      </c>
      <c r="H6" s="22" t="s">
        <v>68</v>
      </c>
      <c r="I6" s="20" t="b">
        <v>0</v>
      </c>
      <c r="J6" s="24" t="b">
        <v>1</v>
      </c>
    </row>
    <row r="7" ht="22.5" customHeight="1">
      <c r="A7" s="14" t="s">
        <v>93</v>
      </c>
      <c r="B7" s="13" t="s">
        <v>94</v>
      </c>
      <c r="C7" s="20" t="s">
        <v>41</v>
      </c>
      <c r="D7" s="15" t="s">
        <v>19</v>
      </c>
      <c r="E7" s="14" t="s">
        <v>96</v>
      </c>
      <c r="F7" s="13" t="s">
        <v>99</v>
      </c>
      <c r="G7" s="15" t="s">
        <v>25</v>
      </c>
      <c r="H7" s="22" t="s">
        <v>49</v>
      </c>
      <c r="I7" s="20" t="b">
        <v>0</v>
      </c>
      <c r="J7" s="24" t="b">
        <v>1</v>
      </c>
    </row>
    <row r="8" ht="22.5" customHeight="1">
      <c r="A8" s="14" t="s">
        <v>42</v>
      </c>
      <c r="B8" s="13" t="s">
        <v>101</v>
      </c>
      <c r="C8" s="20" t="s">
        <v>41</v>
      </c>
      <c r="D8" s="15" t="s">
        <v>19</v>
      </c>
      <c r="E8" s="14" t="s">
        <v>104</v>
      </c>
      <c r="F8" s="13" t="s">
        <v>106</v>
      </c>
      <c r="G8" s="15" t="s">
        <v>108</v>
      </c>
      <c r="H8" s="22" t="s">
        <v>68</v>
      </c>
      <c r="I8" s="20" t="b">
        <v>1</v>
      </c>
      <c r="J8" s="24" t="b">
        <v>1</v>
      </c>
    </row>
    <row r="9" ht="22.5" customHeight="1">
      <c r="A9" s="14" t="s">
        <v>52</v>
      </c>
      <c r="B9" s="13" t="s">
        <v>112</v>
      </c>
      <c r="C9" s="20" t="s">
        <v>41</v>
      </c>
      <c r="D9" s="15" t="s">
        <v>19</v>
      </c>
      <c r="E9" s="14" t="s">
        <v>53</v>
      </c>
      <c r="F9" s="13" t="s">
        <v>106</v>
      </c>
      <c r="G9" s="15" t="s">
        <v>116</v>
      </c>
      <c r="H9" s="22" t="s">
        <v>68</v>
      </c>
      <c r="I9" s="20" t="b">
        <v>0</v>
      </c>
      <c r="J9" s="24" t="b">
        <v>1</v>
      </c>
    </row>
    <row r="10" ht="22.5" customHeight="1">
      <c r="A10" s="31" t="s">
        <v>52</v>
      </c>
      <c r="B10" s="32" t="s">
        <v>112</v>
      </c>
      <c r="C10" s="33" t="s">
        <v>41</v>
      </c>
      <c r="D10" s="34" t="s">
        <v>119</v>
      </c>
      <c r="E10" s="31" t="s">
        <v>121</v>
      </c>
      <c r="F10" s="32" t="s">
        <v>123</v>
      </c>
      <c r="G10" s="34" t="s">
        <v>25</v>
      </c>
      <c r="H10" s="22" t="s">
        <v>49</v>
      </c>
      <c r="I10" s="20" t="b">
        <v>0</v>
      </c>
      <c r="J10" s="24" t="b">
        <v>0</v>
      </c>
    </row>
    <row r="11" ht="22.5" customHeight="1">
      <c r="A11" s="31" t="s">
        <v>125</v>
      </c>
      <c r="B11" s="32" t="s">
        <v>128</v>
      </c>
      <c r="C11" s="33" t="s">
        <v>129</v>
      </c>
      <c r="D11" s="15" t="s">
        <v>19</v>
      </c>
      <c r="E11" s="31" t="s">
        <v>124</v>
      </c>
      <c r="F11" s="32" t="s">
        <v>131</v>
      </c>
      <c r="G11" s="34" t="s">
        <v>25</v>
      </c>
      <c r="H11" s="22" t="s">
        <v>68</v>
      </c>
      <c r="I11" s="20" t="b">
        <v>0</v>
      </c>
      <c r="J11" s="24" t="b">
        <v>1</v>
      </c>
    </row>
    <row r="12" ht="22.5" customHeight="1">
      <c r="A12" s="31" t="s">
        <v>132</v>
      </c>
      <c r="B12" s="32" t="s">
        <v>133</v>
      </c>
      <c r="C12" s="33" t="s">
        <v>134</v>
      </c>
      <c r="D12" s="34" t="s">
        <v>19</v>
      </c>
      <c r="E12" s="31" t="s">
        <v>135</v>
      </c>
      <c r="F12" s="32" t="s">
        <v>136</v>
      </c>
      <c r="G12" s="34" t="s">
        <v>137</v>
      </c>
      <c r="H12" s="22" t="s">
        <v>49</v>
      </c>
      <c r="I12" s="20" t="b">
        <v>0</v>
      </c>
      <c r="J12" s="24" t="b">
        <v>1</v>
      </c>
    </row>
    <row r="13" ht="22.5" customHeight="1">
      <c r="A13" s="31" t="s">
        <v>138</v>
      </c>
      <c r="B13" s="32" t="s">
        <v>139</v>
      </c>
      <c r="C13" s="33" t="s">
        <v>41</v>
      </c>
      <c r="D13" s="34" t="s">
        <v>19</v>
      </c>
      <c r="E13" s="31" t="s">
        <v>140</v>
      </c>
      <c r="F13" s="32" t="s">
        <v>141</v>
      </c>
      <c r="G13" s="34" t="s">
        <v>25</v>
      </c>
      <c r="H13" s="42" t="s">
        <v>142</v>
      </c>
      <c r="I13" s="20" t="b">
        <v>0</v>
      </c>
      <c r="J13" s="24" t="b">
        <v>0</v>
      </c>
    </row>
    <row r="14" ht="22.5" customHeight="1">
      <c r="A14" s="31" t="s">
        <v>143</v>
      </c>
      <c r="B14" s="32" t="s">
        <v>144</v>
      </c>
      <c r="C14" s="33" t="s">
        <v>129</v>
      </c>
      <c r="D14" s="34" t="s">
        <v>19</v>
      </c>
      <c r="E14" s="31" t="s">
        <v>145</v>
      </c>
      <c r="F14" s="32" t="s">
        <v>146</v>
      </c>
      <c r="G14" s="34" t="s">
        <v>25</v>
      </c>
      <c r="H14" s="42" t="s">
        <v>142</v>
      </c>
      <c r="I14" s="20" t="b">
        <v>0</v>
      </c>
      <c r="J14" s="24" t="b">
        <v>0</v>
      </c>
    </row>
    <row r="15" ht="22.5" customHeight="1">
      <c r="A15" s="43" t="s">
        <v>147</v>
      </c>
      <c r="B15" s="26" t="s">
        <v>148</v>
      </c>
      <c r="C15" s="26" t="s">
        <v>149</v>
      </c>
      <c r="D15" s="26" t="s">
        <v>19</v>
      </c>
      <c r="E15" s="26" t="s">
        <v>150</v>
      </c>
      <c r="F15" s="16">
        <v>46190.0</v>
      </c>
      <c r="G15" s="34" t="s">
        <v>25</v>
      </c>
      <c r="H15" s="42" t="s">
        <v>49</v>
      </c>
      <c r="I15" s="20" t="b">
        <v>0</v>
      </c>
      <c r="J15" s="24" t="b">
        <v>0</v>
      </c>
    </row>
    <row r="16" ht="22.5" customHeight="1">
      <c r="A16" s="43" t="s">
        <v>151</v>
      </c>
      <c r="B16" s="26" t="s">
        <v>152</v>
      </c>
      <c r="C16" s="26" t="s">
        <v>149</v>
      </c>
      <c r="D16" s="26" t="s">
        <v>19</v>
      </c>
      <c r="E16" s="26" t="s">
        <v>150</v>
      </c>
      <c r="F16" s="16">
        <v>46190.0</v>
      </c>
      <c r="G16" s="34" t="s">
        <v>25</v>
      </c>
      <c r="H16" s="42" t="s">
        <v>49</v>
      </c>
      <c r="I16" s="20" t="b">
        <v>0</v>
      </c>
      <c r="J16" s="24" t="b">
        <v>0</v>
      </c>
    </row>
    <row r="17" ht="22.5" customHeight="1">
      <c r="A17" s="43" t="s">
        <v>153</v>
      </c>
      <c r="B17" s="26" t="s">
        <v>154</v>
      </c>
      <c r="C17" s="26" t="s">
        <v>149</v>
      </c>
      <c r="D17" s="26" t="s">
        <v>19</v>
      </c>
      <c r="E17" s="26" t="s">
        <v>150</v>
      </c>
      <c r="F17" s="16">
        <v>46190.0</v>
      </c>
      <c r="G17" s="34" t="s">
        <v>25</v>
      </c>
      <c r="H17" s="42" t="s">
        <v>49</v>
      </c>
      <c r="I17" s="20" t="b">
        <v>0</v>
      </c>
      <c r="J17" s="24" t="b">
        <v>0</v>
      </c>
    </row>
    <row r="18" ht="22.5" customHeight="1">
      <c r="A18" s="26" t="s">
        <v>155</v>
      </c>
      <c r="B18" s="26" t="s">
        <v>156</v>
      </c>
      <c r="C18" s="26" t="s">
        <v>134</v>
      </c>
      <c r="D18" s="26" t="s">
        <v>19</v>
      </c>
      <c r="E18" s="26" t="s">
        <v>157</v>
      </c>
      <c r="F18" s="13" t="s">
        <v>158</v>
      </c>
      <c r="G18" s="34" t="s">
        <v>25</v>
      </c>
      <c r="H18" s="42" t="s">
        <v>49</v>
      </c>
      <c r="I18" s="20" t="b">
        <v>1</v>
      </c>
      <c r="J18" s="24" t="b">
        <v>0</v>
      </c>
    </row>
    <row r="19" ht="22.5" customHeight="1">
      <c r="A19" s="26" t="s">
        <v>155</v>
      </c>
      <c r="B19" s="26" t="s">
        <v>156</v>
      </c>
      <c r="C19" s="26" t="s">
        <v>134</v>
      </c>
      <c r="D19" s="26" t="s">
        <v>19</v>
      </c>
      <c r="E19" s="26" t="s">
        <v>159</v>
      </c>
      <c r="F19" s="13" t="s">
        <v>160</v>
      </c>
      <c r="G19" s="34" t="s">
        <v>25</v>
      </c>
      <c r="H19" s="42" t="s">
        <v>49</v>
      </c>
      <c r="I19" s="20" t="b">
        <v>1</v>
      </c>
      <c r="J19" s="24" t="b">
        <v>0</v>
      </c>
    </row>
    <row r="20" ht="22.5" customHeight="1">
      <c r="A20" s="44"/>
      <c r="B20" s="44"/>
      <c r="C20" s="44"/>
      <c r="D20" s="44"/>
      <c r="E20" s="44"/>
      <c r="F20" s="45"/>
      <c r="G20" s="34"/>
      <c r="H20" s="46"/>
      <c r="I20" s="20" t="b">
        <v>0</v>
      </c>
      <c r="J20" s="24" t="b">
        <v>0</v>
      </c>
    </row>
    <row r="21" ht="22.5" customHeight="1">
      <c r="A21" s="44"/>
      <c r="B21" s="44"/>
      <c r="C21" s="44"/>
      <c r="D21" s="44"/>
      <c r="E21" s="44"/>
      <c r="F21" s="45"/>
      <c r="G21" s="34"/>
      <c r="H21" s="46"/>
      <c r="I21" s="20" t="b">
        <v>0</v>
      </c>
      <c r="J21" s="24" t="b">
        <v>0</v>
      </c>
    </row>
    <row r="22" ht="22.5" customHeight="1">
      <c r="A22" s="44"/>
      <c r="B22" s="44"/>
      <c r="C22" s="44"/>
      <c r="D22" s="44"/>
      <c r="E22" s="44"/>
      <c r="F22" s="45"/>
      <c r="G22" s="34"/>
      <c r="H22" s="46"/>
      <c r="I22" s="20" t="b">
        <v>0</v>
      </c>
      <c r="J22" s="24" t="b">
        <v>0</v>
      </c>
    </row>
    <row r="23" ht="22.5" customHeight="1">
      <c r="A23" s="44"/>
      <c r="B23" s="44"/>
      <c r="C23" s="44"/>
      <c r="D23" s="44"/>
      <c r="E23" s="44"/>
      <c r="F23" s="45"/>
      <c r="G23" s="34"/>
      <c r="H23" s="46"/>
      <c r="I23" s="20" t="b">
        <v>0</v>
      </c>
      <c r="J23" s="24" t="b">
        <v>0</v>
      </c>
    </row>
    <row r="24" ht="22.5" customHeight="1">
      <c r="A24" s="44"/>
      <c r="B24" s="44"/>
      <c r="C24" s="44"/>
      <c r="D24" s="44"/>
      <c r="E24" s="44"/>
      <c r="F24" s="45"/>
      <c r="G24" s="34"/>
      <c r="H24" s="46"/>
      <c r="I24" s="20" t="b">
        <v>0</v>
      </c>
      <c r="J24" s="24" t="b">
        <v>0</v>
      </c>
    </row>
    <row r="25" ht="22.5" customHeight="1">
      <c r="A25" s="44"/>
      <c r="B25" s="44"/>
      <c r="C25" s="44"/>
      <c r="D25" s="44"/>
      <c r="E25" s="44"/>
      <c r="F25" s="45"/>
      <c r="G25" s="34"/>
      <c r="H25" s="46"/>
      <c r="I25" s="20" t="b">
        <v>0</v>
      </c>
      <c r="J25" s="24" t="b">
        <v>0</v>
      </c>
    </row>
    <row r="26" ht="22.5" customHeight="1">
      <c r="A26" s="44"/>
      <c r="B26" s="44"/>
      <c r="C26" s="44"/>
      <c r="D26" s="44"/>
      <c r="E26" s="44"/>
      <c r="F26" s="45"/>
      <c r="G26" s="34"/>
      <c r="H26" s="46"/>
      <c r="I26" s="20" t="b">
        <v>0</v>
      </c>
      <c r="J26" s="24" t="b">
        <v>0</v>
      </c>
    </row>
    <row r="27" ht="22.5" customHeight="1">
      <c r="A27" s="44"/>
      <c r="B27" s="44"/>
      <c r="C27" s="44"/>
      <c r="D27" s="44"/>
      <c r="E27" s="44"/>
      <c r="F27" s="45"/>
      <c r="G27" s="34"/>
      <c r="H27" s="46"/>
      <c r="I27" s="20" t="b">
        <v>0</v>
      </c>
      <c r="J27" s="24" t="b">
        <v>0</v>
      </c>
    </row>
    <row r="28" ht="22.5" customHeight="1">
      <c r="A28" s="31" t="s">
        <v>143</v>
      </c>
      <c r="B28" s="32" t="s">
        <v>144</v>
      </c>
      <c r="C28" s="33" t="s">
        <v>129</v>
      </c>
      <c r="D28" s="34" t="s">
        <v>19</v>
      </c>
      <c r="E28" s="31" t="s">
        <v>161</v>
      </c>
      <c r="F28" s="32" t="s">
        <v>162</v>
      </c>
      <c r="G28" s="34"/>
      <c r="H28" s="46"/>
      <c r="I28" s="20" t="b">
        <v>0</v>
      </c>
      <c r="J28" s="24" t="b">
        <v>0</v>
      </c>
    </row>
    <row r="29" ht="22.5" customHeight="1">
      <c r="A29" s="31" t="s">
        <v>132</v>
      </c>
      <c r="B29" s="32" t="s">
        <v>133</v>
      </c>
      <c r="C29" s="33" t="s">
        <v>134</v>
      </c>
      <c r="D29" s="34" t="s">
        <v>19</v>
      </c>
      <c r="E29" s="31" t="s">
        <v>161</v>
      </c>
      <c r="F29" s="32" t="s">
        <v>162</v>
      </c>
      <c r="G29" s="34"/>
      <c r="H29" s="46"/>
      <c r="I29" s="20" t="b">
        <v>0</v>
      </c>
      <c r="J29" s="24" t="b">
        <v>0</v>
      </c>
    </row>
    <row r="30" ht="22.5" customHeight="1">
      <c r="A30" s="31" t="s">
        <v>163</v>
      </c>
      <c r="B30" s="32" t="s">
        <v>164</v>
      </c>
      <c r="C30" s="33" t="s">
        <v>134</v>
      </c>
      <c r="D30" s="34" t="s">
        <v>19</v>
      </c>
      <c r="E30" s="31" t="s">
        <v>161</v>
      </c>
      <c r="F30" s="32" t="s">
        <v>162</v>
      </c>
      <c r="G30" s="34"/>
      <c r="H30" s="46"/>
      <c r="I30" s="20" t="b">
        <v>0</v>
      </c>
      <c r="J30" s="24" t="b">
        <v>0</v>
      </c>
    </row>
    <row r="31" ht="22.5" customHeight="1">
      <c r="A31" s="31" t="s">
        <v>165</v>
      </c>
      <c r="B31" s="32" t="s">
        <v>166</v>
      </c>
      <c r="C31" s="33" t="s">
        <v>134</v>
      </c>
      <c r="D31" s="34" t="s">
        <v>19</v>
      </c>
      <c r="E31" s="31" t="s">
        <v>161</v>
      </c>
      <c r="F31" s="32" t="s">
        <v>162</v>
      </c>
      <c r="G31" s="34"/>
      <c r="H31" s="46"/>
      <c r="I31" s="20" t="b">
        <v>0</v>
      </c>
      <c r="J31" s="24" t="b">
        <v>0</v>
      </c>
    </row>
    <row r="32" ht="22.5" customHeight="1">
      <c r="A32" s="31" t="s">
        <v>167</v>
      </c>
      <c r="B32" s="32" t="s">
        <v>168</v>
      </c>
      <c r="C32" s="33" t="s">
        <v>129</v>
      </c>
      <c r="D32" s="34" t="s">
        <v>19</v>
      </c>
      <c r="E32" s="31" t="s">
        <v>169</v>
      </c>
      <c r="F32" s="32" t="s">
        <v>170</v>
      </c>
      <c r="G32" s="34"/>
      <c r="H32" s="46"/>
      <c r="I32" s="20" t="b">
        <v>0</v>
      </c>
      <c r="J32" s="24" t="b">
        <v>0</v>
      </c>
    </row>
    <row r="33" ht="22.5" customHeight="1">
      <c r="A33" s="31" t="s">
        <v>171</v>
      </c>
      <c r="B33" s="32" t="s">
        <v>172</v>
      </c>
      <c r="C33" s="33" t="s">
        <v>129</v>
      </c>
      <c r="D33" s="34" t="s">
        <v>19</v>
      </c>
      <c r="E33" s="31" t="s">
        <v>173</v>
      </c>
      <c r="F33" s="32" t="s">
        <v>174</v>
      </c>
      <c r="G33" s="34"/>
      <c r="H33" s="46"/>
      <c r="I33" s="20" t="b">
        <v>0</v>
      </c>
      <c r="J33" s="24" t="b">
        <v>0</v>
      </c>
    </row>
    <row r="34" ht="22.5" customHeight="1">
      <c r="A34" s="31" t="s">
        <v>175</v>
      </c>
      <c r="B34" s="32" t="s">
        <v>176</v>
      </c>
      <c r="C34" s="33" t="s">
        <v>129</v>
      </c>
      <c r="D34" s="34" t="s">
        <v>19</v>
      </c>
      <c r="E34" s="31" t="s">
        <v>173</v>
      </c>
      <c r="F34" s="32" t="s">
        <v>174</v>
      </c>
      <c r="G34" s="34"/>
      <c r="H34" s="46"/>
      <c r="I34" s="20" t="b">
        <v>0</v>
      </c>
      <c r="J34" s="24" t="b">
        <v>0</v>
      </c>
    </row>
    <row r="35" ht="22.5" customHeight="1">
      <c r="A35" s="32" t="s">
        <v>125</v>
      </c>
      <c r="B35" s="32" t="s">
        <v>128</v>
      </c>
      <c r="C35" s="33" t="s">
        <v>129</v>
      </c>
      <c r="D35" s="34" t="s">
        <v>19</v>
      </c>
      <c r="E35" s="31" t="s">
        <v>169</v>
      </c>
      <c r="F35" s="32" t="s">
        <v>170</v>
      </c>
      <c r="G35" s="34"/>
      <c r="H35" s="46"/>
      <c r="I35" s="20" t="b">
        <v>0</v>
      </c>
      <c r="J35" s="24" t="b">
        <v>0</v>
      </c>
    </row>
    <row r="36" ht="22.5" customHeight="1">
      <c r="A36" s="31" t="s">
        <v>35</v>
      </c>
      <c r="B36" s="32" t="s">
        <v>39</v>
      </c>
      <c r="C36" s="33" t="s">
        <v>41</v>
      </c>
      <c r="D36" s="34" t="s">
        <v>19</v>
      </c>
      <c r="E36" s="31" t="s">
        <v>177</v>
      </c>
      <c r="F36" s="32" t="s">
        <v>170</v>
      </c>
      <c r="G36" s="34"/>
      <c r="H36" s="46"/>
      <c r="I36" s="20" t="b">
        <v>0</v>
      </c>
      <c r="J36" s="24" t="b">
        <v>0</v>
      </c>
    </row>
    <row r="37" ht="22.5" customHeight="1">
      <c r="A37" s="31" t="s">
        <v>178</v>
      </c>
      <c r="B37" s="32" t="s">
        <v>179</v>
      </c>
      <c r="C37" s="33" t="s">
        <v>180</v>
      </c>
      <c r="D37" s="34" t="s">
        <v>19</v>
      </c>
      <c r="E37" s="31" t="s">
        <v>177</v>
      </c>
      <c r="F37" s="32" t="s">
        <v>170</v>
      </c>
      <c r="G37" s="34"/>
      <c r="H37" s="46"/>
      <c r="I37" s="20" t="b">
        <v>0</v>
      </c>
      <c r="J37" s="24" t="b">
        <v>0</v>
      </c>
    </row>
    <row r="38" ht="22.5" customHeight="1">
      <c r="A38" s="31" t="s">
        <v>181</v>
      </c>
      <c r="B38" s="32" t="s">
        <v>182</v>
      </c>
      <c r="C38" s="33" t="s">
        <v>180</v>
      </c>
      <c r="D38" s="34" t="s">
        <v>19</v>
      </c>
      <c r="E38" s="31" t="s">
        <v>183</v>
      </c>
      <c r="F38" s="32" t="s">
        <v>184</v>
      </c>
      <c r="G38" s="34"/>
      <c r="H38" s="46"/>
      <c r="I38" s="20" t="b">
        <v>0</v>
      </c>
      <c r="J38" s="24" t="b">
        <v>0</v>
      </c>
    </row>
    <row r="39" ht="22.5" customHeight="1">
      <c r="A39" s="31" t="s">
        <v>48</v>
      </c>
      <c r="B39" s="32" t="s">
        <v>56</v>
      </c>
      <c r="C39" s="33" t="s">
        <v>180</v>
      </c>
      <c r="D39" s="34" t="s">
        <v>19</v>
      </c>
      <c r="E39" s="31" t="s">
        <v>185</v>
      </c>
      <c r="F39" s="47"/>
      <c r="G39" s="34"/>
      <c r="H39" s="46"/>
      <c r="I39" s="20" t="b">
        <v>0</v>
      </c>
      <c r="J39" s="24" t="b">
        <v>0</v>
      </c>
    </row>
    <row r="40" ht="22.5" customHeight="1">
      <c r="A40" s="31" t="s">
        <v>186</v>
      </c>
      <c r="B40" s="32" t="s">
        <v>187</v>
      </c>
      <c r="C40" s="33" t="s">
        <v>41</v>
      </c>
      <c r="D40" s="34" t="s">
        <v>19</v>
      </c>
      <c r="E40" s="31" t="s">
        <v>188</v>
      </c>
      <c r="F40" s="32" t="s">
        <v>189</v>
      </c>
      <c r="G40" s="34"/>
      <c r="H40" s="46"/>
      <c r="I40" s="20" t="b">
        <v>0</v>
      </c>
      <c r="J40" s="24" t="b">
        <v>0</v>
      </c>
    </row>
    <row r="41" ht="22.5" customHeight="1">
      <c r="A41" s="31" t="s">
        <v>42</v>
      </c>
      <c r="B41" s="32" t="s">
        <v>101</v>
      </c>
      <c r="C41" s="33" t="s">
        <v>41</v>
      </c>
      <c r="D41" s="34" t="s">
        <v>19</v>
      </c>
      <c r="E41" s="31" t="s">
        <v>190</v>
      </c>
      <c r="F41" s="32" t="s">
        <v>191</v>
      </c>
      <c r="G41" s="34"/>
      <c r="H41" s="46"/>
      <c r="I41" s="20" t="b">
        <v>0</v>
      </c>
      <c r="J41" s="24" t="b">
        <v>0</v>
      </c>
    </row>
    <row r="42" ht="22.5" customHeight="1">
      <c r="A42" s="31" t="s">
        <v>52</v>
      </c>
      <c r="B42" s="32" t="s">
        <v>112</v>
      </c>
      <c r="C42" s="33" t="s">
        <v>41</v>
      </c>
      <c r="D42" s="34" t="s">
        <v>19</v>
      </c>
      <c r="E42" s="31" t="s">
        <v>192</v>
      </c>
      <c r="F42" s="32" t="s">
        <v>193</v>
      </c>
      <c r="G42" s="34"/>
      <c r="H42" s="46"/>
      <c r="I42" s="20" t="b">
        <v>0</v>
      </c>
      <c r="J42" s="24" t="b">
        <v>0</v>
      </c>
    </row>
  </sheetData>
  <dataValidations>
    <dataValidation type="list" allowBlank="1" sqref="H2:H42">
      <formula1>"Belum Terlaksana,Proses,Selesai Pelatihan,Selesai Diseminasi"</formula1>
    </dataValidation>
    <dataValidation type="custom" allowBlank="1" showDropDown="1" sqref="F2:F42">
      <formula1>OR(NOT(ISERROR(DATEVALUE(F2))), AND(ISNUMBER(F2), LEFT(CELL("format", F2))="D"))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0.13"/>
    <col customWidth="1" min="2" max="2" width="32.38"/>
    <col customWidth="1" min="3" max="3" width="15.5"/>
    <col customWidth="1" min="4" max="4" width="29.63"/>
    <col customWidth="1" min="5" max="8" width="12.88"/>
    <col customWidth="1" min="9" max="9" width="16.38"/>
    <col customWidth="1" min="10" max="10" width="24.13"/>
    <col customWidth="1" min="11" max="11" width="16.25"/>
    <col customWidth="1" min="12" max="12" width="41.0"/>
  </cols>
  <sheetData>
    <row r="1" ht="22.5" customHeight="1">
      <c r="A1" s="3" t="s">
        <v>2</v>
      </c>
      <c r="B1" s="3" t="s">
        <v>10</v>
      </c>
      <c r="C1" s="3" t="s">
        <v>12</v>
      </c>
      <c r="D1" s="3" t="s">
        <v>13</v>
      </c>
      <c r="E1" s="8" t="s">
        <v>16</v>
      </c>
      <c r="F1" s="8" t="s">
        <v>21</v>
      </c>
      <c r="G1" s="8" t="s">
        <v>23</v>
      </c>
      <c r="H1" s="8" t="s">
        <v>26</v>
      </c>
      <c r="I1" s="8" t="s">
        <v>29</v>
      </c>
      <c r="J1" s="3" t="s">
        <v>30</v>
      </c>
      <c r="K1" s="8" t="s">
        <v>31</v>
      </c>
      <c r="L1" s="3" t="s">
        <v>11</v>
      </c>
    </row>
    <row r="2" ht="22.5" customHeight="1">
      <c r="A2" s="13" t="s">
        <v>33</v>
      </c>
      <c r="B2" s="14" t="s">
        <v>22</v>
      </c>
      <c r="C2" s="16">
        <v>46136.0</v>
      </c>
      <c r="D2" s="19" t="s">
        <v>40</v>
      </c>
      <c r="E2" s="21">
        <v>29.0</v>
      </c>
      <c r="F2" s="21">
        <v>65.0</v>
      </c>
      <c r="G2" s="21">
        <v>96.0</v>
      </c>
      <c r="H2" s="23">
        <f t="shared" ref="H2:H15" si="1">(G2-F2)/F2</f>
        <v>0.4769230769</v>
      </c>
      <c r="I2" s="23">
        <v>0.9556</v>
      </c>
      <c r="J2" s="25" t="s">
        <v>51</v>
      </c>
      <c r="K2" s="26"/>
      <c r="L2" s="26"/>
    </row>
    <row r="3" ht="22.5" customHeight="1">
      <c r="A3" s="13" t="s">
        <v>58</v>
      </c>
      <c r="B3" s="14" t="s">
        <v>59</v>
      </c>
      <c r="C3" s="16">
        <v>46150.0</v>
      </c>
      <c r="D3" s="19" t="s">
        <v>63</v>
      </c>
      <c r="E3" s="21">
        <v>30.0</v>
      </c>
      <c r="F3" s="21" t="s">
        <v>66</v>
      </c>
      <c r="G3" s="21" t="s">
        <v>66</v>
      </c>
      <c r="H3" s="23" t="str">
        <f t="shared" si="1"/>
        <v>#VALUE!</v>
      </c>
      <c r="I3" s="23">
        <v>0.0487</v>
      </c>
      <c r="J3" s="25" t="s">
        <v>69</v>
      </c>
      <c r="K3" s="25" t="s">
        <v>71</v>
      </c>
      <c r="L3" s="26"/>
    </row>
    <row r="4" ht="22.5" customHeight="1">
      <c r="A4" s="13" t="s">
        <v>58</v>
      </c>
      <c r="B4" s="14" t="s">
        <v>72</v>
      </c>
      <c r="C4" s="16">
        <v>46150.0</v>
      </c>
      <c r="D4" s="19" t="s">
        <v>75</v>
      </c>
      <c r="E4" s="21">
        <v>30.0</v>
      </c>
      <c r="F4" s="21">
        <v>65.81</v>
      </c>
      <c r="G4" s="21">
        <v>88.89</v>
      </c>
      <c r="H4" s="23">
        <f t="shared" si="1"/>
        <v>0.3507065795</v>
      </c>
      <c r="I4" s="23">
        <v>0.0489</v>
      </c>
      <c r="J4" s="25" t="s">
        <v>76</v>
      </c>
      <c r="K4" s="25" t="s">
        <v>77</v>
      </c>
      <c r="L4" s="26"/>
    </row>
    <row r="5" ht="22.5" customHeight="1">
      <c r="A5" s="13" t="s">
        <v>80</v>
      </c>
      <c r="B5" s="14" t="s">
        <v>81</v>
      </c>
      <c r="C5" s="16">
        <v>46164.0</v>
      </c>
      <c r="D5" s="29" t="s">
        <v>42</v>
      </c>
      <c r="E5" s="21">
        <v>28.0</v>
      </c>
      <c r="F5" s="21">
        <v>55.56</v>
      </c>
      <c r="G5" s="21">
        <v>88.15</v>
      </c>
      <c r="H5" s="23">
        <f t="shared" si="1"/>
        <v>0.5865730742</v>
      </c>
      <c r="I5" s="23">
        <v>0.0487</v>
      </c>
      <c r="J5" s="25" t="s">
        <v>84</v>
      </c>
      <c r="K5" s="25" t="s">
        <v>86</v>
      </c>
      <c r="L5" s="26"/>
    </row>
    <row r="6" ht="22.5" customHeight="1">
      <c r="A6" s="13" t="s">
        <v>89</v>
      </c>
      <c r="B6" s="14" t="s">
        <v>90</v>
      </c>
      <c r="C6" s="16">
        <v>46178.0</v>
      </c>
      <c r="D6" s="29" t="s">
        <v>91</v>
      </c>
      <c r="E6" s="21">
        <v>33.0</v>
      </c>
      <c r="F6" s="21">
        <v>56.9</v>
      </c>
      <c r="G6" s="21">
        <v>78.28</v>
      </c>
      <c r="H6" s="23">
        <f t="shared" si="1"/>
        <v>0.3757469244</v>
      </c>
      <c r="I6" s="23">
        <v>0.0481</v>
      </c>
      <c r="J6" s="25" t="s">
        <v>92</v>
      </c>
      <c r="K6" s="25" t="s">
        <v>95</v>
      </c>
      <c r="L6" s="26"/>
    </row>
    <row r="7" ht="22.5" customHeight="1">
      <c r="A7" s="13" t="s">
        <v>97</v>
      </c>
      <c r="B7" s="30" t="s">
        <v>98</v>
      </c>
      <c r="C7" s="16">
        <v>46192.0</v>
      </c>
      <c r="D7" s="29" t="s">
        <v>52</v>
      </c>
      <c r="E7" s="21">
        <v>24.0</v>
      </c>
      <c r="F7" s="21">
        <v>77.62</v>
      </c>
      <c r="G7" s="21">
        <v>83.81</v>
      </c>
      <c r="H7" s="23">
        <f t="shared" si="1"/>
        <v>0.07974748776</v>
      </c>
      <c r="I7" s="23">
        <v>0.0481</v>
      </c>
      <c r="J7" s="25" t="s">
        <v>100</v>
      </c>
      <c r="K7" s="25" t="s">
        <v>102</v>
      </c>
      <c r="L7" s="26" t="s">
        <v>103</v>
      </c>
    </row>
    <row r="8" ht="22.5" customHeight="1">
      <c r="A8" s="13" t="s">
        <v>105</v>
      </c>
      <c r="B8" s="14" t="s">
        <v>107</v>
      </c>
      <c r="C8" s="16">
        <v>46199.0</v>
      </c>
      <c r="D8" s="29" t="s">
        <v>109</v>
      </c>
      <c r="E8" s="21">
        <v>31.0</v>
      </c>
      <c r="F8" s="21">
        <v>99.08</v>
      </c>
      <c r="G8" s="21">
        <v>99.31</v>
      </c>
      <c r="H8" s="23">
        <f t="shared" si="1"/>
        <v>0.00232135648</v>
      </c>
      <c r="I8" s="23">
        <v>0.0478</v>
      </c>
      <c r="J8" s="25" t="s">
        <v>110</v>
      </c>
      <c r="K8" s="25" t="s">
        <v>111</v>
      </c>
      <c r="L8" s="26" t="s">
        <v>113</v>
      </c>
    </row>
    <row r="9" ht="22.5" customHeight="1">
      <c r="A9" s="13" t="s">
        <v>114</v>
      </c>
      <c r="B9" s="14" t="s">
        <v>115</v>
      </c>
      <c r="C9" s="16">
        <v>46213.0</v>
      </c>
      <c r="D9" s="29" t="s">
        <v>61</v>
      </c>
      <c r="E9" s="21">
        <v>28.0</v>
      </c>
      <c r="F9" s="21">
        <v>61.07</v>
      </c>
      <c r="G9" s="21">
        <v>90.0</v>
      </c>
      <c r="H9" s="23">
        <f t="shared" si="1"/>
        <v>0.4737186835</v>
      </c>
      <c r="I9" s="23">
        <v>0.048</v>
      </c>
      <c r="J9" s="25" t="s">
        <v>117</v>
      </c>
      <c r="K9" s="25" t="s">
        <v>118</v>
      </c>
      <c r="L9" s="26" t="s">
        <v>120</v>
      </c>
    </row>
    <row r="10" ht="22.5" customHeight="1">
      <c r="A10" s="13" t="s">
        <v>122</v>
      </c>
      <c r="B10" s="14" t="s">
        <v>124</v>
      </c>
      <c r="C10" s="16">
        <v>46227.0</v>
      </c>
      <c r="D10" s="29" t="s">
        <v>125</v>
      </c>
      <c r="E10" s="21">
        <v>29.0</v>
      </c>
      <c r="F10" s="21">
        <v>73.7</v>
      </c>
      <c r="G10" s="21">
        <v>85.93</v>
      </c>
      <c r="H10" s="23">
        <f t="shared" si="1"/>
        <v>0.1659430122</v>
      </c>
      <c r="I10" s="23">
        <v>0.0486</v>
      </c>
      <c r="J10" s="25" t="s">
        <v>126</v>
      </c>
      <c r="K10" s="25" t="s">
        <v>127</v>
      </c>
      <c r="L10" s="26" t="s">
        <v>130</v>
      </c>
    </row>
    <row r="11" ht="22.5" customHeight="1">
      <c r="A11" s="35"/>
      <c r="B11" s="36"/>
      <c r="C11" s="37"/>
      <c r="D11" s="38"/>
      <c r="E11" s="39"/>
      <c r="F11" s="39"/>
      <c r="G11" s="39"/>
      <c r="H11" s="23" t="str">
        <f t="shared" si="1"/>
        <v>#DIV/0!</v>
      </c>
      <c r="I11" s="40"/>
      <c r="J11" s="41"/>
      <c r="K11" s="41"/>
      <c r="L11" s="41"/>
    </row>
    <row r="12" ht="22.5" customHeight="1">
      <c r="A12" s="35"/>
      <c r="B12" s="36"/>
      <c r="C12" s="37"/>
      <c r="D12" s="38"/>
      <c r="E12" s="39"/>
      <c r="F12" s="39"/>
      <c r="G12" s="39"/>
      <c r="H12" s="23" t="str">
        <f t="shared" si="1"/>
        <v>#DIV/0!</v>
      </c>
      <c r="I12" s="40"/>
      <c r="J12" s="41"/>
      <c r="K12" s="41"/>
      <c r="L12" s="41"/>
    </row>
    <row r="13" ht="22.5" customHeight="1">
      <c r="A13" s="35"/>
      <c r="B13" s="36"/>
      <c r="C13" s="37"/>
      <c r="D13" s="38"/>
      <c r="E13" s="39"/>
      <c r="F13" s="39"/>
      <c r="G13" s="39"/>
      <c r="H13" s="23" t="str">
        <f t="shared" si="1"/>
        <v>#DIV/0!</v>
      </c>
      <c r="I13" s="40"/>
      <c r="J13" s="41"/>
      <c r="K13" s="41"/>
      <c r="L13" s="41"/>
    </row>
    <row r="14" ht="22.5" customHeight="1">
      <c r="A14" s="35"/>
      <c r="B14" s="36"/>
      <c r="C14" s="37"/>
      <c r="D14" s="38"/>
      <c r="E14" s="39"/>
      <c r="F14" s="39"/>
      <c r="G14" s="39"/>
      <c r="H14" s="23" t="str">
        <f t="shared" si="1"/>
        <v>#DIV/0!</v>
      </c>
      <c r="I14" s="40"/>
      <c r="J14" s="41"/>
      <c r="K14" s="41"/>
      <c r="L14" s="41"/>
    </row>
    <row r="15" ht="22.5" customHeight="1">
      <c r="A15" s="35"/>
      <c r="B15" s="36"/>
      <c r="C15" s="37"/>
      <c r="D15" s="38"/>
      <c r="E15" s="39"/>
      <c r="F15" s="39"/>
      <c r="G15" s="39"/>
      <c r="H15" s="23" t="str">
        <f t="shared" si="1"/>
        <v>#DIV/0!</v>
      </c>
      <c r="I15" s="40"/>
      <c r="J15" s="41"/>
      <c r="K15" s="41"/>
      <c r="L15" s="41"/>
    </row>
  </sheetData>
  <dataValidations>
    <dataValidation type="custom" allowBlank="1" showDropDown="1" sqref="C2:C15">
      <formula1>OR(NOT(ISERROR(DATEVALUE(C2))), AND(ISNUMBER(C2), LEFT(CELL("format", C2))="D"))</formula1>
    </dataValidation>
    <dataValidation type="custom" allowBlank="1" showDropDown="1" sqref="H2:I15">
      <formula1>AND(ISNUMBER(H2),(NOT(OR(NOT(ISERROR(DATEVALUE(H2))), AND(ISNUMBER(H2), LEFT(CELL("format", H2))="D")))))</formula1>
    </dataValidation>
  </dataValidations>
  <hyperlinks>
    <hyperlink r:id="rId1" ref="J2"/>
    <hyperlink r:id="rId2" ref="J3"/>
    <hyperlink r:id="rId3" ref="K3"/>
    <hyperlink r:id="rId4" ref="J4"/>
    <hyperlink r:id="rId5" ref="K4"/>
    <hyperlink r:id="rId6" ref="J5"/>
    <hyperlink r:id="rId7" ref="K5"/>
    <hyperlink r:id="rId8" ref="J6"/>
    <hyperlink r:id="rId9" ref="K6"/>
    <hyperlink r:id="rId10" ref="J7"/>
    <hyperlink r:id="rId11" ref="K7"/>
    <hyperlink r:id="rId12" ref="J8"/>
    <hyperlink r:id="rId13" ref="K8"/>
    <hyperlink r:id="rId14" ref="J9"/>
    <hyperlink r:id="rId15" ref="K9"/>
    <hyperlink r:id="rId16" ref="J10"/>
    <hyperlink r:id="rId17" ref="K10"/>
  </hyperlinks>
  <drawing r:id="rId18"/>
  <tableParts count="1"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9.75"/>
    <col customWidth="1" min="3" max="3" width="36.38"/>
    <col customWidth="1" min="4" max="4" width="22.63"/>
    <col customWidth="1" min="5" max="5" width="88.5"/>
    <col customWidth="1" min="7" max="7" width="17.25"/>
  </cols>
  <sheetData>
    <row r="1" ht="22.5" customHeight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5" t="s">
        <v>8</v>
      </c>
      <c r="G1" s="5" t="s">
        <v>11</v>
      </c>
    </row>
    <row r="2" ht="22.5" customHeight="1">
      <c r="A2" s="6">
        <v>1.0</v>
      </c>
      <c r="B2" s="6" t="s">
        <v>15</v>
      </c>
      <c r="C2" s="7" t="s">
        <v>17</v>
      </c>
      <c r="D2" s="7" t="s">
        <v>19</v>
      </c>
      <c r="E2" s="7" t="s">
        <v>22</v>
      </c>
      <c r="F2" s="9" t="s">
        <v>25</v>
      </c>
      <c r="G2" s="10" t="s">
        <v>27</v>
      </c>
    </row>
    <row r="3" ht="22.5" customHeight="1">
      <c r="A3" s="6">
        <v>2.0</v>
      </c>
      <c r="B3" s="6" t="s">
        <v>34</v>
      </c>
      <c r="C3" s="7" t="s">
        <v>36</v>
      </c>
      <c r="D3" s="7" t="s">
        <v>37</v>
      </c>
      <c r="E3" s="7" t="s">
        <v>38</v>
      </c>
      <c r="F3" s="9" t="s">
        <v>25</v>
      </c>
      <c r="G3" s="17" t="s">
        <v>27</v>
      </c>
    </row>
    <row r="4" ht="22.5" customHeight="1">
      <c r="A4" s="6">
        <v>3.0</v>
      </c>
      <c r="B4" s="6" t="s">
        <v>34</v>
      </c>
      <c r="C4" s="7" t="s">
        <v>42</v>
      </c>
      <c r="D4" s="7" t="s">
        <v>19</v>
      </c>
      <c r="E4" s="7" t="s">
        <v>43</v>
      </c>
      <c r="F4" s="9" t="s">
        <v>25</v>
      </c>
      <c r="G4" s="17" t="s">
        <v>27</v>
      </c>
    </row>
    <row r="5" ht="22.5" customHeight="1">
      <c r="A5" s="6">
        <v>4.0</v>
      </c>
      <c r="B5" s="6" t="s">
        <v>47</v>
      </c>
      <c r="C5" s="7" t="s">
        <v>48</v>
      </c>
      <c r="D5" s="7" t="s">
        <v>19</v>
      </c>
      <c r="E5" s="7" t="s">
        <v>50</v>
      </c>
      <c r="F5" s="9" t="s">
        <v>25</v>
      </c>
      <c r="G5" s="17" t="s">
        <v>27</v>
      </c>
    </row>
    <row r="6" ht="22.5" customHeight="1">
      <c r="A6" s="6">
        <v>5.0</v>
      </c>
      <c r="B6" s="6" t="s">
        <v>47</v>
      </c>
      <c r="C6" s="7" t="s">
        <v>52</v>
      </c>
      <c r="D6" s="7" t="s">
        <v>19</v>
      </c>
      <c r="E6" s="7" t="s">
        <v>53</v>
      </c>
      <c r="F6" s="9" t="s">
        <v>25</v>
      </c>
      <c r="G6" s="17" t="s">
        <v>27</v>
      </c>
    </row>
    <row r="7" ht="22.5" customHeight="1">
      <c r="A7" s="6">
        <v>6.0</v>
      </c>
      <c r="B7" s="6" t="s">
        <v>47</v>
      </c>
      <c r="C7" s="7" t="s">
        <v>54</v>
      </c>
      <c r="D7" s="7" t="s">
        <v>19</v>
      </c>
      <c r="E7" s="7" t="s">
        <v>55</v>
      </c>
      <c r="F7" s="9" t="s">
        <v>25</v>
      </c>
      <c r="G7" s="17" t="s">
        <v>27</v>
      </c>
    </row>
    <row r="8" ht="22.5" customHeight="1">
      <c r="A8" s="6">
        <v>7.0</v>
      </c>
      <c r="B8" s="6" t="s">
        <v>60</v>
      </c>
      <c r="C8" s="7" t="s">
        <v>61</v>
      </c>
      <c r="D8" s="7" t="s">
        <v>19</v>
      </c>
      <c r="E8" s="7" t="s">
        <v>62</v>
      </c>
      <c r="F8" s="9" t="s">
        <v>25</v>
      </c>
      <c r="G8" s="17" t="s">
        <v>65</v>
      </c>
    </row>
    <row r="9" ht="22.5" customHeight="1">
      <c r="A9" s="6">
        <v>8.0</v>
      </c>
      <c r="B9" s="6" t="s">
        <v>60</v>
      </c>
      <c r="G9" s="17" t="s">
        <v>65</v>
      </c>
    </row>
    <row r="10" ht="22.5" customHeight="1">
      <c r="A10" s="6">
        <v>9.0</v>
      </c>
      <c r="B10" s="6" t="s">
        <v>70</v>
      </c>
      <c r="C10" s="27"/>
      <c r="D10" s="27"/>
      <c r="E10" s="27"/>
      <c r="F10" s="28"/>
      <c r="G10" s="17" t="s">
        <v>65</v>
      </c>
    </row>
    <row r="11" ht="22.5" customHeight="1">
      <c r="A11" s="6">
        <v>10.0</v>
      </c>
      <c r="B11" s="6" t="s">
        <v>70</v>
      </c>
      <c r="C11" s="27"/>
      <c r="D11" s="27"/>
      <c r="E11" s="27"/>
      <c r="F11" s="28"/>
      <c r="G11" s="17" t="s">
        <v>65</v>
      </c>
    </row>
    <row r="12" ht="22.5" customHeight="1">
      <c r="A12" s="6">
        <v>11.0</v>
      </c>
      <c r="B12" s="6" t="s">
        <v>73</v>
      </c>
      <c r="C12" s="27"/>
      <c r="D12" s="27"/>
      <c r="E12" s="27"/>
      <c r="F12" s="28"/>
      <c r="G12" s="17" t="s">
        <v>65</v>
      </c>
    </row>
    <row r="13" ht="22.5" customHeight="1">
      <c r="A13" s="6">
        <v>12.0</v>
      </c>
      <c r="B13" s="6" t="s">
        <v>73</v>
      </c>
      <c r="C13" s="27"/>
      <c r="D13" s="27"/>
      <c r="E13" s="27"/>
      <c r="F13" s="28"/>
      <c r="G13" s="17" t="s">
        <v>65</v>
      </c>
    </row>
    <row r="14" ht="22.5" customHeight="1">
      <c r="A14" s="6">
        <v>13.0</v>
      </c>
      <c r="B14" s="6" t="s">
        <v>79</v>
      </c>
      <c r="C14" s="27"/>
      <c r="D14" s="27"/>
      <c r="E14" s="27"/>
      <c r="F14" s="28"/>
      <c r="G14" s="17" t="s">
        <v>65</v>
      </c>
    </row>
    <row r="15" ht="22.5" customHeight="1">
      <c r="A15" s="6">
        <v>14.0</v>
      </c>
      <c r="B15" s="6" t="s">
        <v>79</v>
      </c>
      <c r="C15" s="27"/>
      <c r="D15" s="27"/>
      <c r="E15" s="27"/>
      <c r="F15" s="28"/>
      <c r="G15" s="17" t="s">
        <v>65</v>
      </c>
    </row>
    <row r="16" ht="22.5" customHeight="1">
      <c r="A16" s="6">
        <v>15.0</v>
      </c>
      <c r="B16" s="6" t="s">
        <v>83</v>
      </c>
      <c r="C16" s="27"/>
      <c r="D16" s="27"/>
      <c r="E16" s="27"/>
      <c r="F16" s="28"/>
      <c r="G16" s="17" t="s">
        <v>65</v>
      </c>
    </row>
    <row r="17" ht="22.5" customHeight="1">
      <c r="A17" s="6">
        <v>16.0</v>
      </c>
      <c r="B17" s="6" t="s">
        <v>83</v>
      </c>
      <c r="C17" s="27"/>
      <c r="D17" s="27"/>
      <c r="E17" s="27"/>
      <c r="F17" s="28"/>
      <c r="G17" s="17" t="s">
        <v>65</v>
      </c>
    </row>
    <row r="18" ht="22.5" customHeight="1">
      <c r="A18" s="6">
        <v>17.0</v>
      </c>
      <c r="B18" s="6" t="s">
        <v>87</v>
      </c>
      <c r="C18" s="27"/>
      <c r="D18" s="27"/>
      <c r="E18" s="27"/>
      <c r="F18" s="28"/>
      <c r="G18" s="17" t="s">
        <v>65</v>
      </c>
    </row>
    <row r="19" ht="22.5" customHeight="1">
      <c r="A19" s="6">
        <v>18.0</v>
      </c>
      <c r="B19" s="6" t="s">
        <v>87</v>
      </c>
      <c r="C19" s="27"/>
      <c r="D19" s="27"/>
      <c r="E19" s="27"/>
      <c r="F19" s="28"/>
      <c r="G19" s="17" t="s">
        <v>65</v>
      </c>
    </row>
  </sheetData>
  <dataValidations>
    <dataValidation type="list" allowBlank="1" sqref="G2:G19">
      <formula1>"Belum Terlaksana,Selesai"</formula1>
    </dataValidation>
  </dataValidations>
  <drawing r:id="rId1"/>
  <tableParts count="1">
    <tablePart r:id="rId3"/>
  </tableParts>
</worksheet>
</file>